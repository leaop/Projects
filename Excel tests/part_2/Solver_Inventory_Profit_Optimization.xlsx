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LeaoN\Downloads\"/>
    </mc:Choice>
  </mc:AlternateContent>
  <xr:revisionPtr revIDLastSave="0" documentId="13_ncr:1_{9309B67B-3CE3-4663-AFAB-9FC329469B00}" xr6:coauthVersionLast="47" xr6:coauthVersionMax="47" xr10:uidLastSave="{00000000-0000-0000-0000-000000000000}"/>
  <bookViews>
    <workbookView xWindow="22944" yWindow="12600" windowWidth="23232" windowHeight="12696" activeTab="1" xr2:uid="{00000000-000D-0000-FFFF-FFFF00000000}"/>
  </bookViews>
  <sheets>
    <sheet name="Inputs" sheetId="1" r:id="rId1"/>
    <sheet name="Solver_Model" sheetId="2" r:id="rId2"/>
    <sheet name="Como_Usar" sheetId="3" state="hidden" r:id="rId3"/>
  </sheets>
  <definedNames>
    <definedName name="solver_adj" localSheetId="0" hidden="1">Inputs!$D$4:$D$5</definedName>
    <definedName name="solver_adj" localSheetId="1" hidden="1">Solver_Model!$D$4:$D$5</definedName>
    <definedName name="solver_cvg" localSheetId="0" hidden="1">0.0001</definedName>
    <definedName name="solver_cvg" localSheetId="1" hidden="1">0.0001</definedName>
    <definedName name="solver_drv" localSheetId="0" hidden="1">1</definedName>
    <definedName name="solver_drv" localSheetId="1" hidden="1">1</definedName>
    <definedName name="solver_eng" localSheetId="0" hidden="1">2</definedName>
    <definedName name="solver_eng" localSheetId="1" hidden="1">2</definedName>
    <definedName name="solver_est" localSheetId="0" hidden="1">1</definedName>
    <definedName name="solver_est" localSheetId="1" hidden="1">1</definedName>
    <definedName name="solver_itr" localSheetId="0" hidden="1">2147483647</definedName>
    <definedName name="solver_itr" localSheetId="1" hidden="1">2147483647</definedName>
    <definedName name="solver_lhs1" localSheetId="0" hidden="1">Inputs!$D$4:$D$5</definedName>
    <definedName name="solver_lhs1" localSheetId="1" hidden="1">Solver_Model!$D$4:$D$5</definedName>
    <definedName name="solver_lhs2" localSheetId="0" hidden="1">Inputs!$D$4:$D$5</definedName>
    <definedName name="solver_lhs2" localSheetId="1" hidden="1">Solver_Model!$D$4:$D$5</definedName>
    <definedName name="solver_lhs3" localSheetId="0" hidden="1">Inputs!$D$7</definedName>
    <definedName name="solver_lhs3" localSheetId="1" hidden="1">Solver_Model!$D$7</definedName>
    <definedName name="solver_lhs4" localSheetId="0" hidden="1">Inputs!$H$7</definedName>
    <definedName name="solver_lhs4" localSheetId="1" hidden="1">Solver_Model!$H$7</definedName>
    <definedName name="solver_mip" localSheetId="0" hidden="1">2147483647</definedName>
    <definedName name="solver_mip" localSheetId="1" hidden="1">2147483647</definedName>
    <definedName name="solver_mni" localSheetId="0" hidden="1">30</definedName>
    <definedName name="solver_mni" localSheetId="1" hidden="1">30</definedName>
    <definedName name="solver_mrt" localSheetId="0" hidden="1">0.075</definedName>
    <definedName name="solver_mrt" localSheetId="1" hidden="1">0.075</definedName>
    <definedName name="solver_msl" localSheetId="0" hidden="1">2</definedName>
    <definedName name="solver_msl" localSheetId="1" hidden="1">2</definedName>
    <definedName name="solver_neg" localSheetId="0" hidden="1">1</definedName>
    <definedName name="solver_neg" localSheetId="1" hidden="1">1</definedName>
    <definedName name="solver_nod" localSheetId="0" hidden="1">2147483647</definedName>
    <definedName name="solver_nod" localSheetId="1" hidden="1">2147483647</definedName>
    <definedName name="solver_num" localSheetId="0" hidden="1">4</definedName>
    <definedName name="solver_num" localSheetId="1" hidden="1">4</definedName>
    <definedName name="solver_nwt" localSheetId="0" hidden="1">1</definedName>
    <definedName name="solver_nwt" localSheetId="1" hidden="1">1</definedName>
    <definedName name="solver_opt" localSheetId="0" hidden="1">Inputs!$F$27</definedName>
    <definedName name="solver_opt" localSheetId="1" hidden="1">Solver_Model!$J$7</definedName>
    <definedName name="solver_pre" localSheetId="0" hidden="1">0.000001</definedName>
    <definedName name="solver_pre" localSheetId="1" hidden="1">0.000001</definedName>
    <definedName name="solver_rbv" localSheetId="0" hidden="1">1</definedName>
    <definedName name="solver_rbv" localSheetId="1" hidden="1">1</definedName>
    <definedName name="solver_rel1" localSheetId="0" hidden="1">1</definedName>
    <definedName name="solver_rel1" localSheetId="1" hidden="1">1</definedName>
    <definedName name="solver_rel2" localSheetId="0" hidden="1">3</definedName>
    <definedName name="solver_rel2" localSheetId="1" hidden="1">3</definedName>
    <definedName name="solver_rel3" localSheetId="0" hidden="1">1</definedName>
    <definedName name="solver_rel3" localSheetId="1" hidden="1">1</definedName>
    <definedName name="solver_rel4" localSheetId="0" hidden="1">1</definedName>
    <definedName name="solver_rel4" localSheetId="1" hidden="1">1</definedName>
    <definedName name="solver_rhs1" localSheetId="0" hidden="1">Inputs!$B$4:$B$5</definedName>
    <definedName name="solver_rhs1" localSheetId="1" hidden="1">Solver_Model!$B$4:$B$5</definedName>
    <definedName name="solver_rhs2" localSheetId="0" hidden="1">Inputs!$C$4:$C$5</definedName>
    <definedName name="solver_rhs2" localSheetId="1" hidden="1">Solver_Model!$C$4:$C$5</definedName>
    <definedName name="solver_rhs3" localSheetId="0" hidden="1">Inputs!$B$11</definedName>
    <definedName name="solver_rhs3" localSheetId="1" hidden="1">Inputs!$B$11</definedName>
    <definedName name="solver_rhs4" localSheetId="0" hidden="1">Inputs!$B$10</definedName>
    <definedName name="solver_rhs4" localSheetId="1" hidden="1">Inputs!$B$10</definedName>
    <definedName name="solver_rlx" localSheetId="0" hidden="1">2</definedName>
    <definedName name="solver_rlx" localSheetId="1" hidden="1">2</definedName>
    <definedName name="solver_rsd" localSheetId="0" hidden="1">0</definedName>
    <definedName name="solver_rsd" localSheetId="1" hidden="1">0</definedName>
    <definedName name="solver_scl" localSheetId="0" hidden="1">1</definedName>
    <definedName name="solver_scl" localSheetId="1" hidden="1">1</definedName>
    <definedName name="solver_sho" localSheetId="0" hidden="1">2</definedName>
    <definedName name="solver_sho" localSheetId="1" hidden="1">2</definedName>
    <definedName name="solver_ssz" localSheetId="0" hidden="1">100</definedName>
    <definedName name="solver_ssz" localSheetId="1" hidden="1">100</definedName>
    <definedName name="solver_tim" localSheetId="0" hidden="1">2147483647</definedName>
    <definedName name="solver_tim" localSheetId="1" hidden="1">2147483647</definedName>
    <definedName name="solver_tol" localSheetId="0" hidden="1">0.01</definedName>
    <definedName name="solver_tol" localSheetId="1" hidden="1">0.01</definedName>
    <definedName name="solver_typ" localSheetId="0" hidden="1">1</definedName>
    <definedName name="solver_typ" localSheetId="1" hidden="1">1</definedName>
    <definedName name="solver_val" localSheetId="0" hidden="1">0</definedName>
    <definedName name="solver_val" localSheetId="1" hidden="1">0</definedName>
    <definedName name="solver_ver" localSheetId="0" hidden="1">3</definedName>
    <definedName name="solver_ver" localSheetId="1" hidden="1">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3" i="2" l="1"/>
  <c r="C12" i="2"/>
  <c r="F5" i="2"/>
  <c r="E5" i="2"/>
  <c r="C5" i="2"/>
  <c r="C15" i="2" s="1"/>
  <c r="B5" i="2"/>
  <c r="F4" i="2"/>
  <c r="E4" i="2"/>
  <c r="C4" i="2"/>
  <c r="B4" i="2"/>
  <c r="E5" i="1"/>
  <c r="G5" i="2" s="1"/>
  <c r="E4" i="1"/>
  <c r="G4" i="2" s="1"/>
  <c r="J4" i="2" l="1"/>
  <c r="I4" i="2"/>
  <c r="H4" i="2"/>
  <c r="B14" i="2"/>
  <c r="D14" i="2" s="1"/>
  <c r="C14" i="2"/>
  <c r="D7" i="2"/>
  <c r="B13" i="2" s="1"/>
  <c r="D13" i="2" s="1"/>
  <c r="J5" i="2" l="1"/>
  <c r="J7" i="2" s="1"/>
  <c r="I5" i="2"/>
  <c r="I7" i="2" s="1"/>
  <c r="B15" i="2"/>
  <c r="D15" i="2" s="1"/>
  <c r="H5" i="2"/>
  <c r="H7" i="2" s="1"/>
  <c r="B12" i="2" s="1"/>
  <c r="D12" i="2" s="1"/>
</calcChain>
</file>

<file path=xl/sharedStrings.xml><?xml version="1.0" encoding="utf-8"?>
<sst xmlns="http://schemas.openxmlformats.org/spreadsheetml/2006/main" count="147" uniqueCount="133">
  <si>
    <t>Projeto 2 — Inventory &amp; Profit Optimization | Inputs</t>
  </si>
  <si>
    <t>Categoria</t>
  </si>
  <si>
    <t>Demanda prevista (8 semanas)</t>
  </si>
  <si>
    <t>Preço efetivo (R$/un.)</t>
  </si>
  <si>
    <t>Custo unitário (R$/un.)</t>
  </si>
  <si>
    <t>Lucro unitário (R$/un.)</t>
  </si>
  <si>
    <t>Fonte / Observação</t>
  </si>
  <si>
    <t>Electronics</t>
  </si>
  <si>
    <t>Projeto 1 — cenário Base; custo = 65% do preço-base</t>
  </si>
  <si>
    <t>Personal Care</t>
  </si>
  <si>
    <t>Projeto 1 — cenário Base; custo = 55% do preço-base</t>
  </si>
  <si>
    <t>Premissas operacionais do Solver</t>
  </si>
  <si>
    <t>Premissa</t>
  </si>
  <si>
    <t>Valor</t>
  </si>
  <si>
    <t>Unidade</t>
  </si>
  <si>
    <t>Observação</t>
  </si>
  <si>
    <t>Orçamento disponível</t>
  </si>
  <si>
    <t>R$</t>
  </si>
  <si>
    <t>Limite máximo de investimento em estoque</t>
  </si>
  <si>
    <t>Capacidade total</t>
  </si>
  <si>
    <t>unidades</t>
  </si>
  <si>
    <t>Limite máximo de unidades compradas</t>
  </si>
  <si>
    <t>Compra mínima por categoria</t>
  </si>
  <si>
    <t>% da demanda</t>
  </si>
  <si>
    <t>Garante presença mínima das duas categorias</t>
  </si>
  <si>
    <t>Horizonte</t>
  </si>
  <si>
    <t>semanas</t>
  </si>
  <si>
    <t>Mesmo horizonte do forecast do Projeto 1</t>
  </si>
  <si>
    <t>Quantidades inteiras</t>
  </si>
  <si>
    <t>sim/não</t>
  </si>
  <si>
    <t>1 = exigir números inteiros no Solver</t>
  </si>
  <si>
    <t>Nota metodológica</t>
  </si>
  <si>
    <t>Os dados de demanda, preço e custo vêm do cenário-base do Projeto 1. Os custos são premissas explícitas porque a base original não continha custo real do produto.</t>
  </si>
  <si>
    <t>Objetivo do Projeto 2: alocar um orçamento limitado entre as categorias para maximizar o lucro esperado, respeitando demanda prevista e restrições operacionais.</t>
  </si>
  <si>
    <t>Projeto 2 — Modelo de Otimização com Solver</t>
  </si>
  <si>
    <t>Demanda prevista</t>
  </si>
  <si>
    <t>Compra mínima</t>
  </si>
  <si>
    <t>Qtd. a comprar</t>
  </si>
  <si>
    <t>Preço efetivo</t>
  </si>
  <si>
    <t>Custo unitário</t>
  </si>
  <si>
    <t>Lucro unitário</t>
  </si>
  <si>
    <t>Investimento</t>
  </si>
  <si>
    <t>Receita</t>
  </si>
  <si>
    <t>Lucro esperado</t>
  </si>
  <si>
    <t>TOTAL</t>
  </si>
  <si>
    <t>Painel de restrições</t>
  </si>
  <si>
    <t>Restrição</t>
  </si>
  <si>
    <t>Usado</t>
  </si>
  <si>
    <t>Limite</t>
  </si>
  <si>
    <t>Folga</t>
  </si>
  <si>
    <t>Orçamento</t>
  </si>
  <si>
    <t>Mínimo Electronics</t>
  </si>
  <si>
    <t>Mínimo Personal Care</t>
  </si>
  <si>
    <t>Função objetivo</t>
  </si>
  <si>
    <t>Objetivo</t>
  </si>
  <si>
    <t>Maximizar Lucro Total</t>
  </si>
  <si>
    <t>Célula objetivo</t>
  </si>
  <si>
    <t>J7</t>
  </si>
  <si>
    <t>Células variáveis</t>
  </si>
  <si>
    <t>D4:D5</t>
  </si>
  <si>
    <t>Como configurar o Solver no Excel — passo a passo</t>
  </si>
  <si>
    <t>Passo</t>
  </si>
  <si>
    <t>Ação</t>
  </si>
  <si>
    <t>Configuração</t>
  </si>
  <si>
    <t>Por quê</t>
  </si>
  <si>
    <t>Células</t>
  </si>
  <si>
    <t>Resultado esperado</t>
  </si>
  <si>
    <t>Ativar o Solver</t>
  </si>
  <si>
    <t>Arquivo &gt; Opções &gt; Suplementos &gt; Gerenciar Suplementos do Excel &gt; Ir &gt; marcar Solver</t>
  </si>
  <si>
    <t>Habilita a ferramenta de otimização</t>
  </si>
  <si>
    <t>-</t>
  </si>
  <si>
    <t>Solver aparece na guia Dados</t>
  </si>
  <si>
    <t>Abrir o Solver</t>
  </si>
  <si>
    <t>Dados &gt; Solver</t>
  </si>
  <si>
    <t>Abre o painel de otimização</t>
  </si>
  <si>
    <t>Janela Parâmetros do Solver</t>
  </si>
  <si>
    <t>Definir objetivo</t>
  </si>
  <si>
    <t>Definir Objetivo = $J$7</t>
  </si>
  <si>
    <t>J7 soma o lucro esperado das duas categorias</t>
  </si>
  <si>
    <t>Solver_Model!J7</t>
  </si>
  <si>
    <t>Maximizar lucro total</t>
  </si>
  <si>
    <t>Escolher direção</t>
  </si>
  <si>
    <t>Selecionar Máx</t>
  </si>
  <si>
    <t>Queremos o maior lucro possível</t>
  </si>
  <si>
    <t>Objetivo configurado como maximização</t>
  </si>
  <si>
    <t>Definir variáveis</t>
  </si>
  <si>
    <t>Alterando Células Variáveis = $D$4:$D$5</t>
  </si>
  <si>
    <t>São as quantidades a comprar</t>
  </si>
  <si>
    <t>Solver_Model!D4:D5</t>
  </si>
  <si>
    <t>Solver pode alterar as compras</t>
  </si>
  <si>
    <t>Adicionar restrição</t>
  </si>
  <si>
    <t>$H$7 &lt;= Inputs!$B$10</t>
  </si>
  <si>
    <t>Investimento total não pode superar R$ 1,5 milhão</t>
  </si>
  <si>
    <t>H7 e Inputs!B10</t>
  </si>
  <si>
    <t>Respeita orçamento</t>
  </si>
  <si>
    <t>$D$7 &lt;= Inputs!$B$11</t>
  </si>
  <si>
    <t>Total comprado não pode superar 4.000 unidades</t>
  </si>
  <si>
    <t>D7 e Inputs!B11</t>
  </si>
  <si>
    <t>Respeita capacidade</t>
  </si>
  <si>
    <t>$D$4:$D$5 &lt;= $B$4:$B$5</t>
  </si>
  <si>
    <t>Não comprar mais que a demanda prevista</t>
  </si>
  <si>
    <t>D4:D5 e B4:B5</t>
  </si>
  <si>
    <t>Evita excesso sobre forecast</t>
  </si>
  <si>
    <t>$D$4:$D$5 &gt;= $C$4:$C$5</t>
  </si>
  <si>
    <t>Compra mínima de 20% da demanda</t>
  </si>
  <si>
    <t>D4:D5 e C4:C5</t>
  </si>
  <si>
    <t>Mantém presença mínima</t>
  </si>
  <si>
    <t>$D$4:$D$5 = inteiro</t>
  </si>
  <si>
    <t>Não existem frações de unidade</t>
  </si>
  <si>
    <t>Método</t>
  </si>
  <si>
    <t>Selecionar Simplex LP</t>
  </si>
  <si>
    <t>O problema é linear</t>
  </si>
  <si>
    <t>Solução eficiente e reproduzível</t>
  </si>
  <si>
    <t>Resolver</t>
  </si>
  <si>
    <t>Clique em Resolver e mantenha a solução do Solver</t>
  </si>
  <si>
    <t>Executa a otimização</t>
  </si>
  <si>
    <t>D4:D5 passam a mostrar a alocação ótima</t>
  </si>
  <si>
    <t>Como interpretar o resultado</t>
  </si>
  <si>
    <t>1</t>
  </si>
  <si>
    <t>Observe D4 e D5</t>
  </si>
  <si>
    <t>São as quantidades ótimas de compra</t>
  </si>
  <si>
    <t>2</t>
  </si>
  <si>
    <t>Observe H7</t>
  </si>
  <si>
    <t>É o capital usado pelo Solver</t>
  </si>
  <si>
    <t>3</t>
  </si>
  <si>
    <t>Observe J7</t>
  </si>
  <si>
    <t>É o maior lucro encontrado sob as restrições</t>
  </si>
  <si>
    <t>4</t>
  </si>
  <si>
    <t>Observe D12:D15</t>
  </si>
  <si>
    <t>Folgas negativas significam restrição violada; após Solver devem estar &gt;= 0</t>
  </si>
  <si>
    <t>5</t>
  </si>
  <si>
    <t>Compare com uma alocação manual</t>
  </si>
  <si>
    <t>O valor do Solver mostra quanto lucro se ganha com uma decisão otimizada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</si>
</sst>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;[Red]\(#,##0\);\-"/>
    <numFmt numFmtId="165" formatCode="\R\$\ #,##0.00;[Red]\(\R\$\ #,##0.00\);\-"/>
    <numFmt numFmtId="166" formatCode="\R\$\ #,##0;[Red]\(\R\$\ #,##0\);\-"/>
    <numFmt numFmtId="167" formatCode="0.0%"/>
  </numFmts>
  <fonts count="9">
    <font>
      <sz val="11"/>
      <name val="Carlito"/>
    </font>
    <font>
      <b/>
      <sz val="14"/>
      <color rgb="FFFFFFFF"/>
      <name val="Carlito"/>
    </font>
    <font>
      <b/>
      <sz val="11"/>
      <color rgb="FF000000"/>
      <name val="Carlito"/>
    </font>
    <font>
      <sz val="11"/>
      <color rgb="FF0000FF"/>
      <name val="Carlito"/>
    </font>
    <font>
      <sz val="11"/>
      <color rgb="FF000000"/>
      <name val="Carlito"/>
    </font>
    <font>
      <b/>
      <sz val="11"/>
      <color rgb="FFFFFFFF"/>
      <name val="Carlito"/>
    </font>
    <font>
      <b/>
      <sz val="11"/>
      <name val="Carlito"/>
    </font>
    <font>
      <b/>
      <sz val="11"/>
      <color rgb="FF0000FF"/>
      <name val="Carlito"/>
    </font>
    <font>
      <sz val="11"/>
      <color rgb="FF008000"/>
      <name val="Carlito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E2F0D9"/>
      </patternFill>
    </fill>
  </fills>
  <borders count="2">
    <border>
      <left/>
      <right/>
      <top/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2" fillId="3" borderId="0" xfId="0" applyFont="1" applyFill="1" applyAlignment="1">
      <alignment horizontal="center" vertical="center" wrapText="1"/>
    </xf>
    <xf numFmtId="0" fontId="6" fillId="3" borderId="0" xfId="0" applyFont="1" applyFill="1" applyAlignment="1">
      <alignment horizontal="center"/>
    </xf>
    <xf numFmtId="164" fontId="3" fillId="0" borderId="0" xfId="0" applyNumberFormat="1" applyFont="1"/>
    <xf numFmtId="165" fontId="3" fillId="0" borderId="0" xfId="0" applyNumberFormat="1" applyFont="1"/>
    <xf numFmtId="165" fontId="4" fillId="0" borderId="0" xfId="0" applyNumberFormat="1" applyFont="1"/>
    <xf numFmtId="166" fontId="3" fillId="4" borderId="0" xfId="0" applyNumberFormat="1" applyFont="1" applyFill="1"/>
    <xf numFmtId="164" fontId="3" fillId="4" borderId="0" xfId="0" applyNumberFormat="1" applyFont="1" applyFill="1"/>
    <xf numFmtId="167" fontId="3" fillId="4" borderId="0" xfId="0" applyNumberFormat="1" applyFont="1" applyFill="1"/>
    <xf numFmtId="1" fontId="3" fillId="4" borderId="0" xfId="0" applyNumberFormat="1" applyFont="1" applyFill="1"/>
    <xf numFmtId="0" fontId="0" fillId="5" borderId="0" xfId="0" applyFill="1"/>
    <xf numFmtId="0" fontId="0" fillId="0" borderId="0" xfId="0" applyAlignment="1">
      <alignment wrapText="1"/>
    </xf>
    <xf numFmtId="0" fontId="6" fillId="3" borderId="0" xfId="0" applyFont="1" applyFill="1" applyAlignment="1">
      <alignment horizontal="center" wrapText="1"/>
    </xf>
    <xf numFmtId="0" fontId="6" fillId="3" borderId="0" xfId="0" applyFont="1" applyFill="1" applyAlignment="1">
      <alignment horizontal="center" vertical="center" wrapText="1"/>
    </xf>
    <xf numFmtId="0" fontId="6" fillId="0" borderId="0" xfId="0" applyFont="1"/>
    <xf numFmtId="0" fontId="6" fillId="0" borderId="1" xfId="0" applyFont="1" applyBorder="1"/>
    <xf numFmtId="164" fontId="8" fillId="0" borderId="0" xfId="0" applyNumberFormat="1" applyFont="1"/>
    <xf numFmtId="164" fontId="7" fillId="4" borderId="0" xfId="0" applyNumberFormat="1" applyFont="1" applyFill="1"/>
    <xf numFmtId="164" fontId="0" fillId="0" borderId="0" xfId="0" applyNumberFormat="1"/>
    <xf numFmtId="164" fontId="6" fillId="0" borderId="1" xfId="0" applyNumberFormat="1" applyFont="1" applyBorder="1"/>
    <xf numFmtId="165" fontId="8" fillId="0" borderId="0" xfId="0" applyNumberFormat="1" applyFont="1"/>
    <xf numFmtId="165" fontId="0" fillId="0" borderId="0" xfId="0" applyNumberFormat="1"/>
    <xf numFmtId="165" fontId="6" fillId="0" borderId="1" xfId="0" applyNumberFormat="1" applyFont="1" applyBorder="1"/>
    <xf numFmtId="166" fontId="0" fillId="0" borderId="0" xfId="0" applyNumberFormat="1"/>
    <xf numFmtId="0" fontId="0" fillId="0" borderId="0" xfId="0" applyAlignment="1">
      <alignment horizontal="center"/>
    </xf>
    <xf numFmtId="0" fontId="1" fillId="2" borderId="0" xfId="0" applyFont="1" applyFill="1" applyAlignment="1">
      <alignment horizontal="left" vertical="center"/>
    </xf>
    <xf numFmtId="0" fontId="5" fillId="2" borderId="0" xfId="0" applyFont="1" applyFill="1"/>
    <xf numFmtId="0" fontId="6" fillId="5" borderId="0" xfId="0" applyFont="1" applyFill="1"/>
    <xf numFmtId="0" fontId="0" fillId="0" borderId="0" xfId="0" applyAlignment="1">
      <alignment wrapText="1"/>
    </xf>
    <xf numFmtId="0" fontId="1" fillId="2" borderId="0" xfId="0" applyFont="1" applyFill="1" applyAlignment="1">
      <alignment horizontal="left"/>
    </xf>
    <xf numFmtId="0" fontId="1" fillId="2" borderId="0" xfId="0" applyFont="1" applyFill="1"/>
  </cellXfs>
  <cellStyles count="1">
    <cellStyle name="Normal" xfId="0" builtinId="0"/>
  </cellStyles>
  <dxfs count="2">
    <dxf>
      <fill>
        <patternFill patternType="solid">
          <bgColor rgb="FFD9EAD3"/>
        </patternFill>
      </fill>
    </dxf>
    <dxf>
      <font>
        <color rgb="FF9C0006"/>
      </font>
      <fill>
        <patternFill patternType="solid">
          <bgColor rgb="FFF4CC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"/>
  <sheetViews>
    <sheetView workbookViewId="0">
      <selection activeCell="F27" sqref="F27"/>
    </sheetView>
  </sheetViews>
  <sheetFormatPr defaultRowHeight="13.8"/>
  <cols>
    <col min="1" max="1" width="28" customWidth="1"/>
    <col min="2" max="2" width="24" customWidth="1"/>
    <col min="3" max="5" width="22" customWidth="1"/>
    <col min="6" max="6" width="50" customWidth="1"/>
  </cols>
  <sheetData>
    <row r="1" spans="1:6" ht="22.35" customHeight="1">
      <c r="A1" s="25" t="s">
        <v>0</v>
      </c>
      <c r="B1" s="25"/>
      <c r="C1" s="25"/>
      <c r="D1" s="25"/>
      <c r="E1" s="25"/>
      <c r="F1" s="25"/>
    </row>
    <row r="3" spans="1:6" ht="27.6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</row>
    <row r="4" spans="1:6">
      <c r="A4" t="s">
        <v>7</v>
      </c>
      <c r="B4" s="3">
        <v>1807</v>
      </c>
      <c r="C4" s="4">
        <v>1284</v>
      </c>
      <c r="D4" s="4">
        <v>834.6</v>
      </c>
      <c r="E4" s="5">
        <f>C4-D4</f>
        <v>449.4</v>
      </c>
      <c r="F4" t="s">
        <v>8</v>
      </c>
    </row>
    <row r="5" spans="1:6">
      <c r="A5" t="s">
        <v>9</v>
      </c>
      <c r="B5" s="3">
        <v>2671</v>
      </c>
      <c r="C5" s="4">
        <v>1670.5</v>
      </c>
      <c r="D5" s="4">
        <v>918.77499999999998</v>
      </c>
      <c r="E5" s="5">
        <f>C5-D5</f>
        <v>751.72500000000002</v>
      </c>
      <c r="F5" t="s">
        <v>10</v>
      </c>
    </row>
    <row r="8" spans="1:6">
      <c r="A8" s="26" t="s">
        <v>11</v>
      </c>
      <c r="B8" s="26"/>
      <c r="C8" s="26"/>
      <c r="D8" s="26"/>
    </row>
    <row r="9" spans="1:6">
      <c r="A9" s="2" t="s">
        <v>12</v>
      </c>
      <c r="B9" s="2" t="s">
        <v>13</v>
      </c>
      <c r="C9" s="2" t="s">
        <v>14</v>
      </c>
      <c r="D9" s="2" t="s">
        <v>15</v>
      </c>
    </row>
    <row r="10" spans="1:6">
      <c r="A10" t="s">
        <v>16</v>
      </c>
      <c r="B10" s="6">
        <v>1500000</v>
      </c>
      <c r="C10" t="s">
        <v>17</v>
      </c>
      <c r="D10" t="s">
        <v>18</v>
      </c>
    </row>
    <row r="11" spans="1:6">
      <c r="A11" t="s">
        <v>19</v>
      </c>
      <c r="B11" s="7">
        <v>4000</v>
      </c>
      <c r="C11" t="s">
        <v>20</v>
      </c>
      <c r="D11" t="s">
        <v>21</v>
      </c>
    </row>
    <row r="12" spans="1:6">
      <c r="A12" t="s">
        <v>22</v>
      </c>
      <c r="B12" s="8">
        <v>0.2</v>
      </c>
      <c r="C12" t="s">
        <v>23</v>
      </c>
      <c r="D12" t="s">
        <v>24</v>
      </c>
    </row>
    <row r="13" spans="1:6">
      <c r="A13" t="s">
        <v>25</v>
      </c>
      <c r="B13" s="9">
        <v>8</v>
      </c>
      <c r="C13" t="s">
        <v>26</v>
      </c>
      <c r="D13" t="s">
        <v>27</v>
      </c>
    </row>
    <row r="14" spans="1:6">
      <c r="A14" t="s">
        <v>28</v>
      </c>
      <c r="B14" s="9">
        <v>1</v>
      </c>
      <c r="C14" t="s">
        <v>29</v>
      </c>
      <c r="D14" t="s">
        <v>30</v>
      </c>
    </row>
    <row r="16" spans="1:6">
      <c r="A16" s="27" t="s">
        <v>31</v>
      </c>
      <c r="B16" s="27"/>
      <c r="C16" s="27"/>
      <c r="D16" s="27"/>
      <c r="E16" s="27"/>
      <c r="F16" s="27"/>
    </row>
    <row r="17" spans="1:6">
      <c r="A17" s="28" t="s">
        <v>32</v>
      </c>
      <c r="B17" s="28"/>
      <c r="C17" s="28"/>
      <c r="D17" s="28"/>
      <c r="E17" s="28"/>
      <c r="F17" s="28"/>
    </row>
    <row r="18" spans="1:6">
      <c r="A18" s="28" t="s">
        <v>33</v>
      </c>
      <c r="B18" s="28"/>
      <c r="C18" s="28"/>
      <c r="D18" s="28"/>
      <c r="E18" s="28"/>
      <c r="F18" s="28"/>
    </row>
  </sheetData>
  <mergeCells count="5">
    <mergeCell ref="A1:F1"/>
    <mergeCell ref="A8:D8"/>
    <mergeCell ref="A16:F16"/>
    <mergeCell ref="A17:F17"/>
    <mergeCell ref="A18:F1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1"/>
  <sheetViews>
    <sheetView tabSelected="1" zoomScale="90" zoomScaleNormal="90" workbookViewId="0">
      <selection activeCell="E16" sqref="E16"/>
    </sheetView>
  </sheetViews>
  <sheetFormatPr defaultRowHeight="13.8"/>
  <cols>
    <col min="1" max="1" width="24" customWidth="1"/>
    <col min="2" max="7" width="18" customWidth="1"/>
    <col min="8" max="10" width="20" customWidth="1"/>
  </cols>
  <sheetData>
    <row r="1" spans="1:10" ht="22.35" customHeight="1">
      <c r="A1" s="29" t="s">
        <v>34</v>
      </c>
      <c r="B1" s="29"/>
      <c r="C1" s="29"/>
      <c r="D1" s="29"/>
      <c r="E1" s="29"/>
      <c r="F1" s="29"/>
      <c r="G1" s="29"/>
      <c r="H1" s="29"/>
      <c r="I1" s="29"/>
      <c r="J1" s="29"/>
    </row>
    <row r="3" spans="1:10">
      <c r="A3" s="13" t="s">
        <v>1</v>
      </c>
      <c r="B3" s="13" t="s">
        <v>35</v>
      </c>
      <c r="C3" s="13" t="s">
        <v>36</v>
      </c>
      <c r="D3" s="13" t="s">
        <v>37</v>
      </c>
      <c r="E3" s="13" t="s">
        <v>38</v>
      </c>
      <c r="F3" s="13" t="s">
        <v>39</v>
      </c>
      <c r="G3" s="13" t="s">
        <v>40</v>
      </c>
      <c r="H3" s="13" t="s">
        <v>41</v>
      </c>
      <c r="I3" s="13" t="s">
        <v>42</v>
      </c>
      <c r="J3" s="13" t="s">
        <v>43</v>
      </c>
    </row>
    <row r="4" spans="1:10">
      <c r="A4" t="s">
        <v>7</v>
      </c>
      <c r="B4" s="16">
        <f>Inputs!B4</f>
        <v>1807</v>
      </c>
      <c r="C4" s="16">
        <f>B4*Inputs!$B$12</f>
        <v>361.40000000000003</v>
      </c>
      <c r="D4" s="17">
        <v>361.40000000000003</v>
      </c>
      <c r="E4" s="20">
        <f>Inputs!C4</f>
        <v>1284</v>
      </c>
      <c r="F4" s="20">
        <f>Inputs!D4</f>
        <v>834.6</v>
      </c>
      <c r="G4" s="20">
        <f>Inputs!E4</f>
        <v>449.4</v>
      </c>
      <c r="H4" s="5">
        <f>D4*F4</f>
        <v>301624.44000000006</v>
      </c>
      <c r="I4" s="5">
        <f>D4*E4</f>
        <v>464037.60000000003</v>
      </c>
      <c r="J4" s="5">
        <f>D4*G4</f>
        <v>162413.16</v>
      </c>
    </row>
    <row r="5" spans="1:10">
      <c r="A5" t="s">
        <v>9</v>
      </c>
      <c r="B5" s="16">
        <f>Inputs!B5</f>
        <v>2671</v>
      </c>
      <c r="C5" s="16">
        <f>B5*Inputs!$B$12</f>
        <v>534.20000000000005</v>
      </c>
      <c r="D5" s="17">
        <v>1304.3188593508614</v>
      </c>
      <c r="E5" s="20">
        <f>Inputs!C5</f>
        <v>1670.5</v>
      </c>
      <c r="F5" s="20">
        <f>Inputs!D5</f>
        <v>918.77499999999998</v>
      </c>
      <c r="G5" s="20">
        <f>Inputs!E5</f>
        <v>751.72500000000002</v>
      </c>
      <c r="H5" s="5">
        <f>D5*F5</f>
        <v>1198375.5600000876</v>
      </c>
      <c r="I5" s="5">
        <f>D5*E5</f>
        <v>2178864.654545614</v>
      </c>
      <c r="J5" s="5">
        <f>D5*G5</f>
        <v>980489.09454552631</v>
      </c>
    </row>
    <row r="6" spans="1:10">
      <c r="B6" s="18"/>
      <c r="C6" s="18"/>
      <c r="D6" s="18"/>
      <c r="E6" s="21"/>
      <c r="F6" s="21"/>
      <c r="G6" s="21"/>
      <c r="H6" s="21"/>
      <c r="I6" s="21"/>
      <c r="J6" s="21"/>
    </row>
    <row r="7" spans="1:10">
      <c r="A7" s="15" t="s">
        <v>44</v>
      </c>
      <c r="B7" s="19"/>
      <c r="C7" s="19"/>
      <c r="D7" s="19">
        <f>SUM(D4:D5)</f>
        <v>1665.7188593508615</v>
      </c>
      <c r="E7" s="22"/>
      <c r="F7" s="22"/>
      <c r="G7" s="22"/>
      <c r="H7" s="22">
        <f>SUM(H4:H5)</f>
        <v>1500000.0000000875</v>
      </c>
      <c r="I7" s="22">
        <f>SUM(I4:I5)</f>
        <v>2642902.2545456141</v>
      </c>
      <c r="J7" s="22">
        <f>SUM(J4:J5)</f>
        <v>1142902.2545455263</v>
      </c>
    </row>
    <row r="10" spans="1:10">
      <c r="A10" s="26" t="s">
        <v>45</v>
      </c>
      <c r="B10" s="26"/>
      <c r="C10" s="26"/>
      <c r="D10" s="26"/>
    </row>
    <row r="11" spans="1:10">
      <c r="A11" s="2" t="s">
        <v>46</v>
      </c>
      <c r="B11" s="2" t="s">
        <v>47</v>
      </c>
      <c r="C11" s="2" t="s">
        <v>48</v>
      </c>
      <c r="D11" s="2" t="s">
        <v>49</v>
      </c>
    </row>
    <row r="12" spans="1:10">
      <c r="A12" t="s">
        <v>50</v>
      </c>
      <c r="B12" s="23">
        <f>H7</f>
        <v>1500000.0000000875</v>
      </c>
      <c r="C12" s="23">
        <f>Inputs!B10</f>
        <v>1500000</v>
      </c>
      <c r="D12" s="23">
        <f>C12-B12</f>
        <v>-8.754432201385498E-8</v>
      </c>
    </row>
    <row r="13" spans="1:10">
      <c r="A13" t="s">
        <v>19</v>
      </c>
      <c r="B13" s="18">
        <f>D7</f>
        <v>1665.7188593508615</v>
      </c>
      <c r="C13" s="18">
        <f>Inputs!B11</f>
        <v>4000</v>
      </c>
      <c r="D13" s="18">
        <f>C13-B13</f>
        <v>2334.2811406491383</v>
      </c>
    </row>
    <row r="14" spans="1:10">
      <c r="A14" t="s">
        <v>51</v>
      </c>
      <c r="B14" s="18">
        <f>D4</f>
        <v>361.40000000000003</v>
      </c>
      <c r="C14" s="18">
        <f>C4</f>
        <v>361.40000000000003</v>
      </c>
      <c r="D14" s="18">
        <f>B14-C14</f>
        <v>0</v>
      </c>
    </row>
    <row r="15" spans="1:10">
      <c r="A15" t="s">
        <v>52</v>
      </c>
      <c r="B15" s="18">
        <f>D5</f>
        <v>1304.3188593508614</v>
      </c>
      <c r="C15" s="18">
        <f>C5</f>
        <v>534.20000000000005</v>
      </c>
      <c r="D15" s="18">
        <f>B15-C15</f>
        <v>770.11885935086138</v>
      </c>
    </row>
    <row r="18" spans="1:4">
      <c r="A18" s="26" t="s">
        <v>53</v>
      </c>
      <c r="B18" s="26"/>
      <c r="C18" s="26"/>
      <c r="D18" s="26"/>
    </row>
    <row r="19" spans="1:4">
      <c r="A19" s="14" t="s">
        <v>54</v>
      </c>
      <c r="B19" s="10" t="s">
        <v>55</v>
      </c>
    </row>
    <row r="20" spans="1:4">
      <c r="A20" s="14" t="s">
        <v>56</v>
      </c>
      <c r="B20" s="10" t="s">
        <v>57</v>
      </c>
    </row>
    <row r="21" spans="1:4">
      <c r="A21" s="14" t="s">
        <v>58</v>
      </c>
      <c r="B21" s="10" t="s">
        <v>59</v>
      </c>
    </row>
  </sheetData>
  <mergeCells count="3">
    <mergeCell ref="A1:J1"/>
    <mergeCell ref="A10:D10"/>
    <mergeCell ref="A18:D18"/>
  </mergeCells>
  <conditionalFormatting sqref="D12:D15">
    <cfRule type="cellIs" dxfId="1" priority="1" operator="lessThan">
      <formula>0</formula>
    </cfRule>
    <cfRule type="cellIs" dxfId="0" priority="2" operator="greaterThanOrEqual">
      <formula>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3"/>
  <sheetViews>
    <sheetView topLeftCell="A9" workbookViewId="0">
      <selection sqref="A1:F1"/>
    </sheetView>
  </sheetViews>
  <sheetFormatPr defaultRowHeight="13.8"/>
  <cols>
    <col min="1" max="1" width="9" customWidth="1"/>
    <col min="2" max="2" width="24" customWidth="1"/>
    <col min="3" max="3" width="42" customWidth="1"/>
    <col min="4" max="4" width="34" customWidth="1"/>
    <col min="5" max="5" width="24" customWidth="1"/>
    <col min="6" max="6" width="32" customWidth="1"/>
  </cols>
  <sheetData>
    <row r="1" spans="1:6" ht="17.399999999999999">
      <c r="A1" s="30" t="s">
        <v>60</v>
      </c>
      <c r="B1" s="30"/>
      <c r="C1" s="30"/>
      <c r="D1" s="30"/>
      <c r="E1" s="30"/>
      <c r="F1" s="30"/>
    </row>
    <row r="3" spans="1:6">
      <c r="A3" s="12" t="s">
        <v>61</v>
      </c>
      <c r="B3" s="12" t="s">
        <v>62</v>
      </c>
      <c r="C3" s="12" t="s">
        <v>63</v>
      </c>
      <c r="D3" s="12" t="s">
        <v>64</v>
      </c>
      <c r="E3" s="12" t="s">
        <v>65</v>
      </c>
      <c r="F3" s="12" t="s">
        <v>66</v>
      </c>
    </row>
    <row r="4" spans="1:6" ht="27.6">
      <c r="A4" s="24">
        <v>1</v>
      </c>
      <c r="B4" s="11" t="s">
        <v>67</v>
      </c>
      <c r="C4" s="11" t="s">
        <v>68</v>
      </c>
      <c r="D4" s="11" t="s">
        <v>69</v>
      </c>
      <c r="E4" s="11" t="s">
        <v>70</v>
      </c>
      <c r="F4" s="11" t="s">
        <v>71</v>
      </c>
    </row>
    <row r="5" spans="1:6">
      <c r="A5" s="24">
        <v>2</v>
      </c>
      <c r="B5" s="11" t="s">
        <v>72</v>
      </c>
      <c r="C5" s="11" t="s">
        <v>73</v>
      </c>
      <c r="D5" s="11" t="s">
        <v>74</v>
      </c>
      <c r="E5" s="11" t="s">
        <v>70</v>
      </c>
      <c r="F5" s="11" t="s">
        <v>75</v>
      </c>
    </row>
    <row r="6" spans="1:6" ht="27.6">
      <c r="A6" s="24">
        <v>3</v>
      </c>
      <c r="B6" s="11" t="s">
        <v>76</v>
      </c>
      <c r="C6" s="11" t="s">
        <v>77</v>
      </c>
      <c r="D6" s="11" t="s">
        <v>78</v>
      </c>
      <c r="E6" s="11" t="s">
        <v>79</v>
      </c>
      <c r="F6" s="11" t="s">
        <v>80</v>
      </c>
    </row>
    <row r="7" spans="1:6" ht="27.6">
      <c r="A7" s="24">
        <v>4</v>
      </c>
      <c r="B7" s="11" t="s">
        <v>81</v>
      </c>
      <c r="C7" s="11" t="s">
        <v>82</v>
      </c>
      <c r="D7" s="11" t="s">
        <v>83</v>
      </c>
      <c r="E7" s="11" t="s">
        <v>70</v>
      </c>
      <c r="F7" s="11" t="s">
        <v>84</v>
      </c>
    </row>
    <row r="8" spans="1:6">
      <c r="A8" s="24">
        <v>5</v>
      </c>
      <c r="B8" s="11" t="s">
        <v>85</v>
      </c>
      <c r="C8" s="11" t="s">
        <v>86</v>
      </c>
      <c r="D8" s="11" t="s">
        <v>87</v>
      </c>
      <c r="E8" s="11" t="s">
        <v>88</v>
      </c>
      <c r="F8" s="11" t="s">
        <v>89</v>
      </c>
    </row>
    <row r="9" spans="1:6" ht="27.6">
      <c r="A9" s="24">
        <v>6</v>
      </c>
      <c r="B9" s="11" t="s">
        <v>90</v>
      </c>
      <c r="C9" s="11" t="s">
        <v>91</v>
      </c>
      <c r="D9" s="11" t="s">
        <v>92</v>
      </c>
      <c r="E9" s="11" t="s">
        <v>93</v>
      </c>
      <c r="F9" s="11" t="s">
        <v>94</v>
      </c>
    </row>
    <row r="10" spans="1:6" ht="27.6">
      <c r="A10" s="24">
        <v>7</v>
      </c>
      <c r="B10" s="11" t="s">
        <v>90</v>
      </c>
      <c r="C10" s="11" t="s">
        <v>95</v>
      </c>
      <c r="D10" s="11" t="s">
        <v>96</v>
      </c>
      <c r="E10" s="11" t="s">
        <v>97</v>
      </c>
      <c r="F10" s="11" t="s">
        <v>98</v>
      </c>
    </row>
    <row r="11" spans="1:6" ht="27.6">
      <c r="A11" s="24">
        <v>8</v>
      </c>
      <c r="B11" s="11" t="s">
        <v>90</v>
      </c>
      <c r="C11" s="11" t="s">
        <v>99</v>
      </c>
      <c r="D11" s="11" t="s">
        <v>100</v>
      </c>
      <c r="E11" s="11" t="s">
        <v>101</v>
      </c>
      <c r="F11" s="11" t="s">
        <v>102</v>
      </c>
    </row>
    <row r="12" spans="1:6">
      <c r="A12" s="24">
        <v>9</v>
      </c>
      <c r="B12" s="11" t="s">
        <v>90</v>
      </c>
      <c r="C12" s="11" t="s">
        <v>103</v>
      </c>
      <c r="D12" s="11" t="s">
        <v>104</v>
      </c>
      <c r="E12" s="11" t="s">
        <v>105</v>
      </c>
      <c r="F12" s="11" t="s">
        <v>106</v>
      </c>
    </row>
    <row r="13" spans="1:6">
      <c r="A13" s="24">
        <v>10</v>
      </c>
      <c r="B13" s="11" t="s">
        <v>90</v>
      </c>
      <c r="C13" s="11" t="s">
        <v>107</v>
      </c>
      <c r="D13" s="11" t="s">
        <v>108</v>
      </c>
      <c r="E13" s="11" t="s">
        <v>59</v>
      </c>
      <c r="F13" s="11" t="s">
        <v>28</v>
      </c>
    </row>
    <row r="14" spans="1:6">
      <c r="A14" s="24">
        <v>11</v>
      </c>
      <c r="B14" s="11" t="s">
        <v>109</v>
      </c>
      <c r="C14" s="11" t="s">
        <v>110</v>
      </c>
      <c r="D14" s="11" t="s">
        <v>111</v>
      </c>
      <c r="E14" s="11" t="s">
        <v>70</v>
      </c>
      <c r="F14" s="11" t="s">
        <v>112</v>
      </c>
    </row>
    <row r="15" spans="1:6" ht="27.6">
      <c r="A15" s="24">
        <v>12</v>
      </c>
      <c r="B15" s="11" t="s">
        <v>113</v>
      </c>
      <c r="C15" s="11" t="s">
        <v>114</v>
      </c>
      <c r="D15" s="11" t="s">
        <v>115</v>
      </c>
      <c r="E15" s="11" t="s">
        <v>70</v>
      </c>
      <c r="F15" s="11" t="s">
        <v>116</v>
      </c>
    </row>
    <row r="18" spans="1:6">
      <c r="A18" s="26" t="s">
        <v>117</v>
      </c>
      <c r="B18" s="26"/>
      <c r="C18" s="26"/>
      <c r="D18" s="26"/>
      <c r="E18" s="26"/>
      <c r="F18" s="26"/>
    </row>
    <row r="19" spans="1:6">
      <c r="A19" s="11" t="s">
        <v>118</v>
      </c>
      <c r="B19" s="11" t="s">
        <v>119</v>
      </c>
      <c r="C19" s="11" t="s">
        <v>120</v>
      </c>
      <c r="D19" s="11"/>
      <c r="E19" s="11"/>
      <c r="F19" s="11"/>
    </row>
    <row r="20" spans="1:6">
      <c r="A20" s="11" t="s">
        <v>121</v>
      </c>
      <c r="B20" s="11" t="s">
        <v>122</v>
      </c>
      <c r="C20" s="11" t="s">
        <v>123</v>
      </c>
      <c r="D20" s="11"/>
      <c r="E20" s="11"/>
      <c r="F20" s="11"/>
    </row>
    <row r="21" spans="1:6">
      <c r="A21" s="11" t="s">
        <v>124</v>
      </c>
      <c r="B21" s="11" t="s">
        <v>125</v>
      </c>
      <c r="C21" s="11" t="s">
        <v>126</v>
      </c>
      <c r="D21" s="11"/>
      <c r="E21" s="11"/>
      <c r="F21" s="11"/>
    </row>
    <row r="22" spans="1:6" ht="27.6">
      <c r="A22" s="11" t="s">
        <v>127</v>
      </c>
      <c r="B22" s="11" t="s">
        <v>128</v>
      </c>
      <c r="C22" s="11" t="s">
        <v>129</v>
      </c>
      <c r="D22" s="11"/>
      <c r="E22" s="11"/>
      <c r="F22" s="11"/>
    </row>
    <row r="23" spans="1:6" ht="27.6">
      <c r="A23" s="11" t="s">
        <v>130</v>
      </c>
      <c r="B23" s="11" t="s">
        <v>131</v>
      </c>
      <c r="C23" s="11" t="s">
        <v>132</v>
      </c>
      <c r="D23" s="11"/>
      <c r="E23" s="11"/>
      <c r="F23" s="11"/>
    </row>
  </sheetData>
  <mergeCells count="2">
    <mergeCell ref="A1:F1"/>
    <mergeCell ref="A18:F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Inputs</vt:lpstr>
      <vt:lpstr>Solver_Model</vt:lpstr>
      <vt:lpstr>Como_Usar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Leao Neto</cp:lastModifiedBy>
  <dcterms:modified xsi:type="dcterms:W3CDTF">2026-08-21T14:03:40Z</dcterms:modified>
</cp:coreProperties>
</file>